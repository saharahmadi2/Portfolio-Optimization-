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har/Desktop/"/>
    </mc:Choice>
  </mc:AlternateContent>
  <xr:revisionPtr revIDLastSave="0" documentId="13_ncr:1_{7C76B2F2-5581-0243-96F0-2B878EEB2A51}" xr6:coauthVersionLast="47" xr6:coauthVersionMax="47" xr10:uidLastSave="{00000000-0000-0000-0000-000000000000}"/>
  <bookViews>
    <workbookView xWindow="0" yWindow="500" windowWidth="28800" windowHeight="16280" xr2:uid="{1C93A217-D2C0-3547-BD53-D90332B2A929}"/>
  </bookViews>
  <sheets>
    <sheet name="Sheet1" sheetId="14" r:id="rId1"/>
  </sheets>
  <definedNames>
    <definedName name="solver_adj" localSheetId="0" hidden="1">Sheet1!$G$15:$G$17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Sheet1!$G$19</definedName>
    <definedName name="solver_lhs2" localSheetId="0" hidden="1">Sheet1!$G$21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1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opt" localSheetId="0" hidden="1">Sheet1!$G$20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el2" localSheetId="0" hidden="1">2</definedName>
    <definedName name="solver_rhs1" localSheetId="0" hidden="1">Sheet1!$J$19</definedName>
    <definedName name="solver_rhs2" localSheetId="0" hidden="1">Sheet1!$J$20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4" l="1"/>
  <c r="G20" i="14"/>
  <c r="G19" i="14"/>
</calcChain>
</file>

<file path=xl/sharedStrings.xml><?xml version="1.0" encoding="utf-8"?>
<sst xmlns="http://schemas.openxmlformats.org/spreadsheetml/2006/main" count="43" uniqueCount="34">
  <si>
    <t>x1 =</t>
  </si>
  <si>
    <t>Minimize:</t>
  </si>
  <si>
    <t>x2 =</t>
  </si>
  <si>
    <t>x3 =</t>
  </si>
  <si>
    <t>Portfolio Return</t>
  </si>
  <si>
    <t>Portfolio Variance</t>
  </si>
  <si>
    <t>Total Allocation</t>
  </si>
  <si>
    <t>Stock</t>
  </si>
  <si>
    <t>Expected Return</t>
  </si>
  <si>
    <t>Variance</t>
  </si>
  <si>
    <t>Alpha</t>
  </si>
  <si>
    <t>Bravo</t>
  </si>
  <si>
    <t>Charlie</t>
  </si>
  <si>
    <t>Variance-Covariance Matrix</t>
  </si>
  <si>
    <t>Decision Variables</t>
  </si>
  <si>
    <t>X1</t>
  </si>
  <si>
    <t>X2</t>
  </si>
  <si>
    <t>X3</t>
  </si>
  <si>
    <t>Constraints</t>
  </si>
  <si>
    <t>Constraint1 Budget</t>
  </si>
  <si>
    <t>Constraint2 minimum Portfolio  Return</t>
  </si>
  <si>
    <t>0.062x1+0.146x2+0.128x3 =&gt; 0.10</t>
  </si>
  <si>
    <t>Constraint3 Non Negative</t>
  </si>
  <si>
    <t>x1 =&gt; 0</t>
  </si>
  <si>
    <t>x3 =&gt; 0</t>
  </si>
  <si>
    <t>x2 =&gt; 0</t>
  </si>
  <si>
    <t>task 2</t>
  </si>
  <si>
    <t>task 1 return &amp;risk</t>
  </si>
  <si>
    <t>x1+x2+x3=1</t>
  </si>
  <si>
    <t>Algebraic model</t>
  </si>
  <si>
    <t>risk</t>
  </si>
  <si>
    <t>Equ 2</t>
  </si>
  <si>
    <t xml:space="preserve">Equ 3 </t>
  </si>
  <si>
    <t>Equ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</si>
</sst>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6" x14ac:knownFonts="1">
    <font>
      <sz val="12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4B08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5" borderId="0" xfId="0" applyFont="1" applyFill="1"/>
    <xf numFmtId="0" fontId="0" fillId="2" borderId="0" xfId="0" applyFill="1"/>
    <xf numFmtId="0" fontId="4" fillId="2" borderId="0" xfId="0" applyFont="1" applyFill="1"/>
    <xf numFmtId="0" fontId="0" fillId="4" borderId="0" xfId="0" applyFill="1"/>
    <xf numFmtId="0" fontId="3" fillId="3" borderId="0" xfId="0" applyFont="1" applyFill="1"/>
    <xf numFmtId="0" fontId="0" fillId="3" borderId="0" xfId="0" applyFill="1"/>
    <xf numFmtId="164" fontId="0" fillId="2" borderId="0" xfId="0" applyNumberFormat="1" applyFill="1"/>
    <xf numFmtId="9" fontId="0" fillId="0" borderId="0" xfId="0" applyNumberFormat="1"/>
    <xf numFmtId="2" fontId="0" fillId="0" borderId="0" xfId="1" applyNumberFormat="1" applyFont="1"/>
    <xf numFmtId="0" fontId="4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0B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D4A9-6905-E04C-8B25-3701A1855126}">
  <dimension ref="B3:N21"/>
  <sheetViews>
    <sheetView tabSelected="1" workbookViewId="0">
      <selection activeCell="F4" sqref="F4"/>
    </sheetView>
  </sheetViews>
  <sheetFormatPr baseColWidth="10" defaultRowHeight="16" x14ac:dyDescent="0.2"/>
  <cols>
    <col min="2" max="2" width="31.6640625" customWidth="1"/>
    <col min="6" max="6" width="24.5" customWidth="1"/>
  </cols>
  <sheetData>
    <row r="3" spans="2:14" x14ac:dyDescent="0.2">
      <c r="L3" t="s">
        <v>30</v>
      </c>
    </row>
    <row r="4" spans="2:14" ht="19" x14ac:dyDescent="0.25">
      <c r="B4" s="1" t="s">
        <v>29</v>
      </c>
      <c r="J4" s="7" t="s">
        <v>7</v>
      </c>
      <c r="K4" s="8" t="s">
        <v>8</v>
      </c>
      <c r="L4" s="8" t="s">
        <v>9</v>
      </c>
      <c r="M4" t="s">
        <v>27</v>
      </c>
    </row>
    <row r="5" spans="2:14" ht="19" x14ac:dyDescent="0.25">
      <c r="B5" s="1" t="s">
        <v>1</v>
      </c>
      <c r="J5" s="8" t="s">
        <v>10</v>
      </c>
      <c r="K5" s="4">
        <v>6.2E-2</v>
      </c>
      <c r="L5" s="4">
        <v>1.46E-2</v>
      </c>
    </row>
    <row r="6" spans="2:14" x14ac:dyDescent="0.2">
      <c r="B6" s="4" t="s">
        <v>18</v>
      </c>
      <c r="C6" s="4"/>
      <c r="D6" s="4"/>
      <c r="J6" s="8" t="s">
        <v>11</v>
      </c>
      <c r="K6" s="4">
        <v>0.14599999999999999</v>
      </c>
      <c r="L6" s="4">
        <v>8.5400000000000004E-2</v>
      </c>
    </row>
    <row r="7" spans="2:14" x14ac:dyDescent="0.2">
      <c r="B7" s="4" t="s">
        <v>19</v>
      </c>
      <c r="C7" s="4" t="s">
        <v>28</v>
      </c>
      <c r="D7" s="4"/>
      <c r="J7" s="8" t="s">
        <v>12</v>
      </c>
      <c r="K7" s="4">
        <v>0.128</v>
      </c>
      <c r="L7" s="4">
        <v>2.8899999999999999E-2</v>
      </c>
    </row>
    <row r="8" spans="2:14" x14ac:dyDescent="0.2">
      <c r="B8" s="5" t="s">
        <v>20</v>
      </c>
      <c r="C8" s="4" t="s">
        <v>21</v>
      </c>
      <c r="D8" s="4"/>
    </row>
    <row r="9" spans="2:14" x14ac:dyDescent="0.2">
      <c r="B9" s="5" t="s">
        <v>22</v>
      </c>
      <c r="C9" s="4" t="s">
        <v>23</v>
      </c>
      <c r="D9" s="4"/>
    </row>
    <row r="10" spans="2:14" x14ac:dyDescent="0.2">
      <c r="B10" s="4"/>
      <c r="C10" s="4" t="s">
        <v>25</v>
      </c>
      <c r="D10" s="4"/>
      <c r="J10" s="7" t="s">
        <v>13</v>
      </c>
      <c r="K10" s="8"/>
      <c r="L10" s="8"/>
      <c r="M10" s="8"/>
      <c r="N10" t="s">
        <v>26</v>
      </c>
    </row>
    <row r="11" spans="2:14" x14ac:dyDescent="0.2">
      <c r="B11" s="4"/>
      <c r="C11" s="4" t="s">
        <v>24</v>
      </c>
      <c r="D11" s="4"/>
      <c r="F11" s="6" t="s">
        <v>14</v>
      </c>
      <c r="G11" s="6"/>
      <c r="J11" s="8"/>
      <c r="K11" s="8" t="s">
        <v>10</v>
      </c>
      <c r="L11" s="8" t="s">
        <v>11</v>
      </c>
      <c r="M11" s="8" t="s">
        <v>12</v>
      </c>
    </row>
    <row r="12" spans="2:14" x14ac:dyDescent="0.2">
      <c r="F12" s="6" t="s">
        <v>10</v>
      </c>
      <c r="G12" s="6" t="s">
        <v>15</v>
      </c>
      <c r="J12" s="8" t="s">
        <v>10</v>
      </c>
      <c r="K12" s="4">
        <v>1.46E-2</v>
      </c>
      <c r="L12" s="4">
        <v>1.8700000000000001E-2</v>
      </c>
      <c r="M12" s="4">
        <v>1.4500000000000001E-2</v>
      </c>
    </row>
    <row r="13" spans="2:14" x14ac:dyDescent="0.2">
      <c r="F13" s="6" t="s">
        <v>11</v>
      </c>
      <c r="G13" s="6" t="s">
        <v>16</v>
      </c>
      <c r="J13" s="8" t="s">
        <v>11</v>
      </c>
      <c r="K13" s="4">
        <v>1.8700000000000001E-2</v>
      </c>
      <c r="L13" s="4">
        <v>8.5400000000000004E-2</v>
      </c>
      <c r="M13" s="4">
        <v>1.04E-2</v>
      </c>
    </row>
    <row r="14" spans="2:14" x14ac:dyDescent="0.2">
      <c r="F14" s="6" t="s">
        <v>12</v>
      </c>
      <c r="G14" s="6" t="s">
        <v>17</v>
      </c>
      <c r="J14" s="8" t="s">
        <v>12</v>
      </c>
      <c r="K14" s="4">
        <v>1.4500000000000001E-2</v>
      </c>
      <c r="L14" s="4">
        <v>1.04E-2</v>
      </c>
      <c r="M14" s="4">
        <v>2.8899999999999999E-2</v>
      </c>
    </row>
    <row r="15" spans="2:14" x14ac:dyDescent="0.2">
      <c r="F15" s="2" t="s">
        <v>0</v>
      </c>
      <c r="G15" s="12">
        <v>0.45259435903107292</v>
      </c>
    </row>
    <row r="16" spans="2:14" x14ac:dyDescent="0.2">
      <c r="F16" s="2" t="s">
        <v>2</v>
      </c>
      <c r="G16" s="12">
        <v>0.10395707825803431</v>
      </c>
    </row>
    <row r="17" spans="6:10" x14ac:dyDescent="0.2">
      <c r="F17" s="2" t="s">
        <v>3</v>
      </c>
      <c r="G17" s="12">
        <v>0.44344856573344921</v>
      </c>
    </row>
    <row r="18" spans="6:10" x14ac:dyDescent="0.2">
      <c r="G18" s="11"/>
    </row>
    <row r="19" spans="6:10" x14ac:dyDescent="0.2">
      <c r="F19" s="3" t="s">
        <v>4</v>
      </c>
      <c r="G19" s="11">
        <f>0.062*G15+0.146*G16+0.128*G17</f>
        <v>0.10000000009948103</v>
      </c>
      <c r="H19" s="4" t="s">
        <v>31</v>
      </c>
      <c r="J19" s="10">
        <v>0.1</v>
      </c>
    </row>
    <row r="20" spans="6:10" x14ac:dyDescent="0.2">
      <c r="F20" s="3" t="s">
        <v>5</v>
      </c>
      <c r="G20" s="11">
        <f>0.0146*(G15^2)+2*0.0187*G15*G16+2*0.0145*G15*G17+0.0854*(G16^2)+2*0.0104*G16*G17+0.0289*(G17^2)</f>
        <v>1.8135623677662908E-2</v>
      </c>
      <c r="H20" s="9" t="s">
        <v>32</v>
      </c>
      <c r="J20" s="10">
        <v>1</v>
      </c>
    </row>
    <row r="21" spans="6:10" x14ac:dyDescent="0.2">
      <c r="F21" s="3" t="s">
        <v>6</v>
      </c>
      <c r="G21" s="11">
        <f>G15+G16+G17</f>
        <v>1.0000000030225564</v>
      </c>
      <c r="H21" s="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Bibi Sahar Ahmadi</dc:creator>
  <cp:lastModifiedBy>Bibi Sahar Ahmadi</cp:lastModifiedBy>
  <dcterms:created xsi:type="dcterms:W3CDTF">2025-05-15T04:26:29Z</dcterms:created>
  <dcterms:modified xsi:type="dcterms:W3CDTF">2025-05-21T04:50:58Z</dcterms:modified>
</cp:coreProperties>
</file>